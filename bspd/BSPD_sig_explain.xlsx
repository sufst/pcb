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rekarausta/Desktop/SUFST/pcb/bspd/"/>
    </mc:Choice>
  </mc:AlternateContent>
  <xr:revisionPtr revIDLastSave="0" documentId="13_ncr:1_{EB26C4BA-F16A-924F-A56C-EB5CB4C76F6B}" xr6:coauthVersionLast="47" xr6:coauthVersionMax="47" xr10:uidLastSave="{00000000-0000-0000-0000-000000000000}"/>
  <bookViews>
    <workbookView xWindow="-23360" yWindow="-32000" windowWidth="76800" windowHeight="32000" xr2:uid="{00000000-000D-0000-FFFF-FFFF00000000}"/>
  </bookViews>
  <sheets>
    <sheet name="Signals (Master)" sheetId="1" r:id="rId1"/>
    <sheet name="External I_O" sheetId="2" r:id="rId2"/>
    <sheet name="Sheet Mapping" sheetId="3" r:id="rId3"/>
    <sheet name="Logic (Truth)" sheetId="4" r:id="rId4"/>
  </sheets>
  <definedNames>
    <definedName name="_xlnm._FilterDatabase" localSheetId="1" hidden="1">'External I_O'!$A$1:$G$8</definedName>
    <definedName name="_xlnm._FilterDatabase" localSheetId="0" hidden="1">'Signals (Master)'!$A$1:$G$23</definedName>
  </definedNames>
  <calcPr calcId="124519"/>
</workbook>
</file>

<file path=xl/sharedStrings.xml><?xml version="1.0" encoding="utf-8"?>
<sst xmlns="http://schemas.openxmlformats.org/spreadsheetml/2006/main" count="169" uniqueCount="103">
  <si>
    <t>Signal</t>
  </si>
  <si>
    <t>Dir</t>
  </si>
  <si>
    <t>Sheet</t>
  </si>
  <si>
    <t>Type</t>
  </si>
  <si>
    <t>Description / Notes</t>
  </si>
  <si>
    <t>BPS_SIG</t>
  </si>
  <si>
    <t>CT_SIG</t>
  </si>
  <si>
    <t>SHUTDOWN_IN</t>
  </si>
  <si>
    <t>PWR_FLAG</t>
  </si>
  <si>
    <t>SHUTDOWN_OUT</t>
  </si>
  <si>
    <t>+12V</t>
  </si>
  <si>
    <t>GND</t>
  </si>
  <si>
    <t>BRAKE_AND_THROTTLE_PRESSED</t>
  </si>
  <si>
    <t>CURRENT_SENSE</t>
  </si>
  <si>
    <t>PRESSURE_SENSE</t>
  </si>
  <si>
    <t>BRAKE_PLAUSIBLE</t>
  </si>
  <si>
    <t>Input</t>
  </si>
  <si>
    <t>Internal</t>
  </si>
  <si>
    <t>Output</t>
  </si>
  <si>
    <t>Output/Status</t>
  </si>
  <si>
    <t>Power</t>
  </si>
  <si>
    <t>Root</t>
  </si>
  <si>
    <t>SCS Check</t>
  </si>
  <si>
    <t>Brake Plausibility</t>
  </si>
  <si>
    <t>Brake pressure sensor connector</t>
  </si>
  <si>
    <t>Current sensor connector</t>
  </si>
  <si>
    <t>Upstream SCS loop</t>
  </si>
  <si>
    <t>KiCad power flag</t>
  </si>
  <si>
    <t>Relay contact output</t>
  </si>
  <si>
    <t>LV supply</t>
  </si>
  <si>
    <t>LV return</t>
  </si>
  <si>
    <t>ANDing of comparator outputs (wired‑AND/open‑collector w/ pull‑up)</t>
  </si>
  <si>
    <t>RC filter (from CT_SIG)</t>
  </si>
  <si>
    <t>RC filter (from BPS_SIG)</t>
  </si>
  <si>
    <t>Inverter/buffer from TRIP_LATCH</t>
  </si>
  <si>
    <t>RC filter → PRESSURE_SENSE</t>
  </si>
  <si>
    <t>RC filter → CURRENT_SENSE</t>
  </si>
  <si>
    <t>Relay contact input</t>
  </si>
  <si>
    <t>ERC only</t>
  </si>
  <si>
    <t>Downstream SCS loop</t>
  </si>
  <si>
    <t>All ICs, relay, LEDs</t>
  </si>
  <si>
    <t>All blocks</t>
  </si>
  <si>
    <t>Timing block</t>
  </si>
  <si>
    <t>Comparator U?A (LM393)</t>
  </si>
  <si>
    <t>Comparator U?B (LM393)</t>
  </si>
  <si>
    <t>Top sheet label + LED</t>
  </si>
  <si>
    <t>Analog</t>
  </si>
  <si>
    <t>SCS line</t>
  </si>
  <si>
    <t>Digital</t>
  </si>
  <si>
    <t>Raw brake pressure sense from harness</t>
  </si>
  <si>
    <t>Raw motor/inverter current sense from harness</t>
  </si>
  <si>
    <t>Continuity from upstream safety chain</t>
  </si>
  <si>
    <t>For electrical rules check; not a real signal</t>
  </si>
  <si>
    <t>Opens when BSPD trips (breaks SCS continuity)</t>
  </si>
  <si>
    <t>Board supply rail</t>
  </si>
  <si>
    <t>0V reference</t>
  </si>
  <si>
    <t>High only when both brake and throttle comparators assert</t>
  </si>
  <si>
    <t>Low‑pass filtered throttle/current signal</t>
  </si>
  <si>
    <t>Low‑pass filtered brake pressure signal</t>
  </si>
  <si>
    <t>1 = OK, 0 = Implausible (trip)</t>
  </si>
  <si>
    <t>I/O</t>
  </si>
  <si>
    <t>Connector</t>
  </si>
  <si>
    <t>Range/Type</t>
  </si>
  <si>
    <t>Mapped To</t>
  </si>
  <si>
    <t>Brake pressure sensor</t>
  </si>
  <si>
    <t>Current sensor</t>
  </si>
  <si>
    <t>SCS loop in</t>
  </si>
  <si>
    <t>SCS loop out</t>
  </si>
  <si>
    <t>Sheet/status</t>
  </si>
  <si>
    <t>Analog (0–5 V typ)</t>
  </si>
  <si>
    <t>SCS continuity</t>
  </si>
  <si>
    <t>Board rail</t>
  </si>
  <si>
    <t>PRESSURE_SENSE (filtered)</t>
  </si>
  <si>
    <t>CURRENT_SENSE (filtered)</t>
  </si>
  <si>
    <t>Board reference</t>
  </si>
  <si>
    <t>Relay contact</t>
  </si>
  <si>
    <t>Downstream safety chain</t>
  </si>
  <si>
    <t>Vehicle logic / indicator</t>
  </si>
  <si>
    <t>Handles</t>
  </si>
  <si>
    <t>Power rails, connectors, RC filters, relay &amp; SCS path, LEDs, sheet ports</t>
  </si>
  <si>
    <t>Comparators (LM393), AND logic, startup blanking, 500 ms timer, trip latch, BRAKE_PLAUSIBLE</t>
  </si>
  <si>
    <t>Diagnostic/test (placeholder in screenshots)</t>
  </si>
  <si>
    <t>Brake (PRESSURE_SENSE&gt;Vth_B)</t>
  </si>
  <si>
    <t>Throttle (CURRENT_SENSE&gt;Vth_T)</t>
  </si>
  <si>
    <t>StartupBlank</t>
  </si>
  <si>
    <t>Time ≥ t_BSPD</t>
  </si>
  <si>
    <t>Effect</t>
  </si>
  <si>
    <t>x</t>
  </si>
  <si>
    <t>1</t>
  </si>
  <si>
    <t>0</t>
  </si>
  <si>
    <t>≤t</t>
  </si>
  <si>
    <t>&lt;t</t>
  </si>
  <si>
    <t>≥t</t>
  </si>
  <si>
    <t>OK; BRAKE_PLAUSIBLE=1; SCS closed</t>
  </si>
  <si>
    <t>Startup masked; no trip</t>
  </si>
  <si>
    <t>Timer running; no trip yet</t>
  </si>
  <si>
    <t>TRIP → BRAKE_PLAUSIBLE=0 → Relay opens SCS (latched)</t>
  </si>
  <si>
    <t>From</t>
  </si>
  <si>
    <t>To</t>
  </si>
  <si>
    <t>Verification on KiCAD file</t>
  </si>
  <si>
    <t>????</t>
  </si>
  <si>
    <t>???</t>
  </si>
  <si>
    <t>Not visible on schematic!!!!!!!!!!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</si>
</sst>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Border="1"/>
  </cellXfs>
  <cellStyles count="1">
    <cellStyle name="Normal" xfId="0" builtinId="0"/>
  </cellStyles>
  <dxfs count="5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D9E1F2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160" workbookViewId="0">
      <pane ySplit="1" topLeftCell="A2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26.1640625" bestFit="1" customWidth="1"/>
    <col min="2" max="3" width="22.6640625" customWidth="1"/>
    <col min="4" max="4" width="29.83203125" customWidth="1"/>
    <col min="5" max="5" width="22.6640625" customWidth="1"/>
    <col min="6" max="6" width="23" customWidth="1"/>
    <col min="7" max="7" width="44.6640625" customWidth="1"/>
    <col min="8" max="8" width="37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97</v>
      </c>
      <c r="E1" s="1" t="s">
        <v>98</v>
      </c>
      <c r="F1" s="1" t="s">
        <v>3</v>
      </c>
      <c r="G1" s="1" t="s">
        <v>4</v>
      </c>
      <c r="H1" s="3" t="s">
        <v>99</v>
      </c>
    </row>
    <row r="2" spans="1:8" x14ac:dyDescent="0.2">
      <c r="A2" t="s">
        <v>5</v>
      </c>
      <c r="B2" t="s">
        <v>16</v>
      </c>
      <c r="C2" t="s">
        <v>21</v>
      </c>
      <c r="D2" t="s">
        <v>24</v>
      </c>
      <c r="E2" t="s">
        <v>35</v>
      </c>
      <c r="F2" t="s">
        <v>46</v>
      </c>
      <c r="G2" t="s">
        <v>49</v>
      </c>
      <c r="H2" s="4" t="b">
        <v>1</v>
      </c>
    </row>
    <row r="3" spans="1:8" x14ac:dyDescent="0.2">
      <c r="A3" t="s">
        <v>6</v>
      </c>
      <c r="B3" t="s">
        <v>16</v>
      </c>
      <c r="C3" t="s">
        <v>21</v>
      </c>
      <c r="D3" t="s">
        <v>25</v>
      </c>
      <c r="E3" t="s">
        <v>36</v>
      </c>
      <c r="F3" t="s">
        <v>46</v>
      </c>
      <c r="G3" t="s">
        <v>50</v>
      </c>
      <c r="H3" s="4" t="b">
        <v>1</v>
      </c>
    </row>
    <row r="4" spans="1:8" x14ac:dyDescent="0.2">
      <c r="A4" t="s">
        <v>7</v>
      </c>
      <c r="B4" t="s">
        <v>16</v>
      </c>
      <c r="C4" t="s">
        <v>21</v>
      </c>
      <c r="D4" t="s">
        <v>26</v>
      </c>
      <c r="E4" t="s">
        <v>37</v>
      </c>
      <c r="F4" t="s">
        <v>47</v>
      </c>
      <c r="G4" t="s">
        <v>51</v>
      </c>
      <c r="H4" s="4" t="b">
        <v>1</v>
      </c>
    </row>
    <row r="5" spans="1:8" x14ac:dyDescent="0.2">
      <c r="A5" t="s">
        <v>8</v>
      </c>
      <c r="B5" t="s">
        <v>17</v>
      </c>
      <c r="C5" t="s">
        <v>21</v>
      </c>
      <c r="D5" t="s">
        <v>27</v>
      </c>
      <c r="E5" t="s">
        <v>38</v>
      </c>
      <c r="F5" t="s">
        <v>48</v>
      </c>
      <c r="G5" t="s">
        <v>52</v>
      </c>
      <c r="H5" s="4" t="b">
        <v>1</v>
      </c>
    </row>
    <row r="6" spans="1:8" x14ac:dyDescent="0.2">
      <c r="A6" t="s">
        <v>9</v>
      </c>
      <c r="B6" t="s">
        <v>18</v>
      </c>
      <c r="C6" t="s">
        <v>21</v>
      </c>
      <c r="D6" t="s">
        <v>28</v>
      </c>
      <c r="E6" t="s">
        <v>39</v>
      </c>
      <c r="F6" t="s">
        <v>47</v>
      </c>
      <c r="G6" t="s">
        <v>53</v>
      </c>
      <c r="H6" s="4" t="b">
        <v>1</v>
      </c>
    </row>
    <row r="7" spans="1:8" x14ac:dyDescent="0.2">
      <c r="A7" t="s">
        <v>10</v>
      </c>
      <c r="B7" t="s">
        <v>20</v>
      </c>
      <c r="C7" t="s">
        <v>21</v>
      </c>
      <c r="D7" t="s">
        <v>29</v>
      </c>
      <c r="E7" t="s">
        <v>40</v>
      </c>
      <c r="F7" t="s">
        <v>20</v>
      </c>
      <c r="G7" t="s">
        <v>54</v>
      </c>
      <c r="H7" s="4" t="b">
        <v>1</v>
      </c>
    </row>
    <row r="8" spans="1:8" x14ac:dyDescent="0.2">
      <c r="A8" t="s">
        <v>11</v>
      </c>
      <c r="B8" t="s">
        <v>20</v>
      </c>
      <c r="C8" t="s">
        <v>21</v>
      </c>
      <c r="D8" t="s">
        <v>30</v>
      </c>
      <c r="E8" t="s">
        <v>41</v>
      </c>
      <c r="F8" t="s">
        <v>20</v>
      </c>
      <c r="G8" t="s">
        <v>55</v>
      </c>
      <c r="H8" s="4" t="b">
        <v>1</v>
      </c>
    </row>
    <row r="9" spans="1:8" x14ac:dyDescent="0.2">
      <c r="A9" s="2" t="s">
        <v>100</v>
      </c>
      <c r="B9" s="2" t="s">
        <v>101</v>
      </c>
      <c r="C9" s="2" t="s">
        <v>22</v>
      </c>
      <c r="D9" s="2"/>
      <c r="E9" s="2"/>
      <c r="F9" s="2"/>
      <c r="G9" s="2" t="s">
        <v>102</v>
      </c>
      <c r="H9" s="5" t="b">
        <v>0</v>
      </c>
    </row>
    <row r="10" spans="1:8" x14ac:dyDescent="0.2">
      <c r="A10" s="2" t="s">
        <v>12</v>
      </c>
      <c r="B10" s="2" t="s">
        <v>17</v>
      </c>
      <c r="C10" s="2" t="s">
        <v>23</v>
      </c>
      <c r="D10" s="2" t="s">
        <v>31</v>
      </c>
      <c r="E10" s="2" t="s">
        <v>42</v>
      </c>
      <c r="F10" s="2" t="s">
        <v>48</v>
      </c>
      <c r="G10" s="2" t="s">
        <v>56</v>
      </c>
      <c r="H10" s="5" t="b">
        <v>1</v>
      </c>
    </row>
    <row r="11" spans="1:8" x14ac:dyDescent="0.2">
      <c r="A11" s="2" t="s">
        <v>13</v>
      </c>
      <c r="B11" s="2" t="s">
        <v>17</v>
      </c>
      <c r="C11" s="2" t="s">
        <v>23</v>
      </c>
      <c r="D11" s="2" t="s">
        <v>32</v>
      </c>
      <c r="E11" s="2" t="s">
        <v>43</v>
      </c>
      <c r="F11" s="2" t="s">
        <v>46</v>
      </c>
      <c r="G11" s="2" t="s">
        <v>57</v>
      </c>
      <c r="H11" s="5" t="b">
        <v>1</v>
      </c>
    </row>
    <row r="12" spans="1:8" x14ac:dyDescent="0.2">
      <c r="A12" s="2" t="s">
        <v>14</v>
      </c>
      <c r="B12" s="2" t="s">
        <v>17</v>
      </c>
      <c r="C12" s="2" t="s">
        <v>23</v>
      </c>
      <c r="D12" s="2" t="s">
        <v>33</v>
      </c>
      <c r="E12" s="2" t="s">
        <v>44</v>
      </c>
      <c r="F12" s="2" t="s">
        <v>46</v>
      </c>
      <c r="G12" s="2" t="s">
        <v>58</v>
      </c>
      <c r="H12" s="5" t="b">
        <v>1</v>
      </c>
    </row>
    <row r="13" spans="1:8" s="2" customFormat="1" x14ac:dyDescent="0.2">
      <c r="A13" s="2" t="s">
        <v>15</v>
      </c>
      <c r="B13" s="2" t="s">
        <v>19</v>
      </c>
      <c r="C13" s="2" t="s">
        <v>23</v>
      </c>
      <c r="D13" s="2" t="s">
        <v>34</v>
      </c>
      <c r="E13" s="2" t="s">
        <v>45</v>
      </c>
      <c r="F13" s="2" t="s">
        <v>48</v>
      </c>
      <c r="G13" s="2" t="s">
        <v>59</v>
      </c>
      <c r="H13" s="5" t="b">
        <v>1</v>
      </c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s="2" customFormat="1" x14ac:dyDescent="0.2">
      <c r="A15" s="6"/>
      <c r="B15" s="6"/>
      <c r="C15" s="6"/>
      <c r="D15" s="6"/>
      <c r="E15" s="6"/>
      <c r="F15" s="6"/>
      <c r="G15" s="6"/>
      <c r="H15" s="6"/>
    </row>
    <row r="16" spans="1:8" x14ac:dyDescent="0.2">
      <c r="A16" s="6"/>
      <c r="B16" s="6"/>
      <c r="C16" s="6"/>
      <c r="D16" s="6"/>
      <c r="E16" s="6"/>
      <c r="F16" s="6"/>
      <c r="G16" s="6"/>
      <c r="H16" s="6"/>
    </row>
    <row r="17" spans="1:8" x14ac:dyDescent="0.2">
      <c r="A17" s="6"/>
      <c r="B17" s="6"/>
      <c r="C17" s="6"/>
      <c r="D17" s="6"/>
      <c r="E17" s="6"/>
      <c r="F17" s="6"/>
      <c r="G17" s="6"/>
      <c r="H17" s="6"/>
    </row>
    <row r="18" spans="1:8" x14ac:dyDescent="0.2">
      <c r="A18" s="6"/>
      <c r="B18" s="6"/>
      <c r="C18" s="6"/>
      <c r="D18" s="6"/>
      <c r="E18" s="6"/>
      <c r="F18" s="6"/>
      <c r="G18" s="6"/>
      <c r="H18" s="6"/>
    </row>
    <row r="19" spans="1:8" x14ac:dyDescent="0.2">
      <c r="A19" s="6"/>
      <c r="B19" s="6"/>
      <c r="C19" s="6"/>
      <c r="D19" s="6"/>
      <c r="E19" s="6"/>
      <c r="F19" s="6"/>
      <c r="G19" s="6"/>
      <c r="H19" s="6"/>
    </row>
    <row r="20" spans="1:8" x14ac:dyDescent="0.2">
      <c r="A20" s="6"/>
      <c r="B20" s="6"/>
      <c r="C20" s="6"/>
      <c r="D20" s="6"/>
      <c r="E20" s="6"/>
      <c r="F20" s="6"/>
      <c r="G20" s="6"/>
      <c r="H20" s="6"/>
    </row>
    <row r="21" spans="1:8" s="2" customFormat="1" x14ac:dyDescent="0.2">
      <c r="A21" s="6"/>
      <c r="B21" s="6"/>
      <c r="C21" s="6"/>
      <c r="D21" s="6"/>
      <c r="E21" s="6"/>
      <c r="F21" s="6"/>
      <c r="G21" s="6"/>
      <c r="H21" s="6"/>
    </row>
    <row r="22" spans="1:8" s="2" customFormat="1" x14ac:dyDescent="0.2">
      <c r="A22" s="6"/>
      <c r="B22" s="6"/>
      <c r="C22" s="6"/>
      <c r="D22" s="6"/>
      <c r="E22" s="6"/>
      <c r="F22" s="6"/>
      <c r="G22" s="6"/>
      <c r="H22" s="6"/>
    </row>
    <row r="23" spans="1:8" s="2" customFormat="1" x14ac:dyDescent="0.2">
      <c r="A23" s="6"/>
      <c r="B23" s="6"/>
      <c r="C23" s="6"/>
      <c r="D23" s="6"/>
      <c r="E23" s="6"/>
      <c r="F23" s="6"/>
      <c r="G23" s="6"/>
      <c r="H23" s="6"/>
    </row>
    <row r="24" spans="1:8" s="2" customFormat="1" x14ac:dyDescent="0.2">
      <c r="A24" s="6"/>
      <c r="B24" s="6"/>
      <c r="C24" s="6"/>
      <c r="D24" s="6"/>
      <c r="E24" s="6"/>
      <c r="F24" s="6"/>
      <c r="G24" s="6"/>
      <c r="H24" s="6"/>
    </row>
    <row r="25" spans="1:8" x14ac:dyDescent="0.2">
      <c r="A25" s="6"/>
      <c r="B25" s="6"/>
      <c r="C25" s="6"/>
      <c r="D25" s="6"/>
      <c r="E25" s="6"/>
      <c r="F25" s="6"/>
      <c r="G25" s="6"/>
      <c r="H25" s="6"/>
    </row>
    <row r="26" spans="1:8" x14ac:dyDescent="0.2">
      <c r="A26" s="6"/>
      <c r="B26" s="6"/>
      <c r="C26" s="6"/>
      <c r="D26" s="6"/>
      <c r="E26" s="6"/>
      <c r="F26" s="6"/>
      <c r="G26" s="6"/>
      <c r="H26" s="6"/>
    </row>
  </sheetData>
  <autoFilter ref="A1:G24" xr:uid="{00000000-0009-0000-0000-000000000000}"/>
  <conditionalFormatting sqref="A2:G8">
    <cfRule type="notContainsBlanks" dxfId="4" priority="1">
      <formula>LEN(TRIM(A2))&gt;0</formula>
    </cfRule>
  </conditionalFormatting>
  <conditionalFormatting sqref="A14:G14 A9:G9">
    <cfRule type="notContainsBlanks" dxfId="3" priority="12">
      <formula>LEN(TRIM(A9))&gt;0</formula>
    </cfRule>
  </conditionalFormatting>
  <conditionalFormatting sqref="A16:G20 A23:G23 A10:G13">
    <cfRule type="notContainsBlanks" dxfId="2" priority="14">
      <formula>LEN(TRIM(A10))&gt;0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22.6640625" customWidth="1"/>
  </cols>
  <sheetData>
    <row r="1" spans="1:7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2</v>
      </c>
      <c r="G1" s="1" t="s">
        <v>1</v>
      </c>
    </row>
    <row r="2" spans="1:7" x14ac:dyDescent="0.2">
      <c r="A2" t="s">
        <v>10</v>
      </c>
      <c r="B2" t="s">
        <v>20</v>
      </c>
      <c r="C2" t="s">
        <v>29</v>
      </c>
      <c r="D2" t="s">
        <v>20</v>
      </c>
      <c r="E2" t="s">
        <v>71</v>
      </c>
      <c r="F2" t="s">
        <v>21</v>
      </c>
    </row>
    <row r="3" spans="1:7" x14ac:dyDescent="0.2">
      <c r="A3" t="s">
        <v>5</v>
      </c>
      <c r="B3" t="s">
        <v>16</v>
      </c>
      <c r="C3" t="s">
        <v>64</v>
      </c>
      <c r="D3" t="s">
        <v>69</v>
      </c>
      <c r="E3" t="s">
        <v>72</v>
      </c>
      <c r="F3" t="s">
        <v>21</v>
      </c>
    </row>
    <row r="4" spans="1:7" x14ac:dyDescent="0.2">
      <c r="A4" t="s">
        <v>6</v>
      </c>
      <c r="B4" t="s">
        <v>16</v>
      </c>
      <c r="C4" t="s">
        <v>65</v>
      </c>
      <c r="D4" t="s">
        <v>69</v>
      </c>
      <c r="E4" t="s">
        <v>73</v>
      </c>
      <c r="F4" t="s">
        <v>21</v>
      </c>
    </row>
    <row r="5" spans="1:7" x14ac:dyDescent="0.2">
      <c r="A5" t="s">
        <v>11</v>
      </c>
      <c r="B5" t="s">
        <v>20</v>
      </c>
      <c r="C5" t="s">
        <v>30</v>
      </c>
      <c r="D5" t="s">
        <v>20</v>
      </c>
      <c r="E5" t="s">
        <v>74</v>
      </c>
      <c r="F5" t="s">
        <v>21</v>
      </c>
    </row>
    <row r="6" spans="1:7" x14ac:dyDescent="0.2">
      <c r="A6" t="s">
        <v>7</v>
      </c>
      <c r="B6" t="s">
        <v>16</v>
      </c>
      <c r="C6" t="s">
        <v>66</v>
      </c>
      <c r="D6" t="s">
        <v>70</v>
      </c>
      <c r="E6" t="s">
        <v>75</v>
      </c>
      <c r="F6" t="s">
        <v>21</v>
      </c>
    </row>
    <row r="7" spans="1:7" x14ac:dyDescent="0.2">
      <c r="A7" t="s">
        <v>9</v>
      </c>
      <c r="B7" t="s">
        <v>18</v>
      </c>
      <c r="C7" t="s">
        <v>67</v>
      </c>
      <c r="D7" t="s">
        <v>70</v>
      </c>
      <c r="E7" t="s">
        <v>76</v>
      </c>
      <c r="F7" t="s">
        <v>21</v>
      </c>
    </row>
    <row r="8" spans="1:7" s="2" customFormat="1" x14ac:dyDescent="0.2">
      <c r="A8" s="2" t="s">
        <v>15</v>
      </c>
      <c r="B8" s="2" t="s">
        <v>18</v>
      </c>
      <c r="C8" s="2" t="s">
        <v>68</v>
      </c>
      <c r="D8" s="2" t="s">
        <v>48</v>
      </c>
      <c r="E8" s="2" t="s">
        <v>77</v>
      </c>
      <c r="F8" s="2" t="s">
        <v>23</v>
      </c>
    </row>
  </sheetData>
  <autoFilter ref="A1:G8" xr:uid="{00000000-0009-0000-0000-000001000000}"/>
  <conditionalFormatting sqref="A2:G7">
    <cfRule type="notContainsBlanks" dxfId="1" priority="1">
      <formula>LEN(TRIM(A2))&gt;0</formula>
    </cfRule>
  </conditionalFormatting>
  <conditionalFormatting sqref="A8:G8">
    <cfRule type="notContainsBlanks" dxfId="0" priority="7">
      <formula>LEN(TRIM(A8))&gt;0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</v>
      </c>
      <c r="B1" s="1" t="s">
        <v>78</v>
      </c>
    </row>
    <row r="2" spans="1:2" x14ac:dyDescent="0.2">
      <c r="A2" t="s">
        <v>21</v>
      </c>
      <c r="B2" t="s">
        <v>79</v>
      </c>
    </row>
    <row r="3" spans="1:2" x14ac:dyDescent="0.2">
      <c r="A3" t="s">
        <v>23</v>
      </c>
      <c r="B3" t="s">
        <v>80</v>
      </c>
    </row>
    <row r="4" spans="1:2" x14ac:dyDescent="0.2">
      <c r="A4" t="s">
        <v>22</v>
      </c>
      <c r="B4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spans="1:5" x14ac:dyDescent="0.2">
      <c r="A2">
        <v>0</v>
      </c>
      <c r="B2">
        <v>0</v>
      </c>
      <c r="C2" t="s">
        <v>87</v>
      </c>
      <c r="D2" t="s">
        <v>87</v>
      </c>
      <c r="E2" t="s">
        <v>93</v>
      </c>
    </row>
    <row r="3" spans="1:5" x14ac:dyDescent="0.2">
      <c r="A3">
        <v>1</v>
      </c>
      <c r="B3">
        <v>0</v>
      </c>
      <c r="C3" t="s">
        <v>87</v>
      </c>
      <c r="D3" t="s">
        <v>87</v>
      </c>
      <c r="E3" t="s">
        <v>93</v>
      </c>
    </row>
    <row r="4" spans="1:5" x14ac:dyDescent="0.2">
      <c r="A4">
        <v>0</v>
      </c>
      <c r="B4">
        <v>1</v>
      </c>
      <c r="C4" t="s">
        <v>87</v>
      </c>
      <c r="D4" t="s">
        <v>87</v>
      </c>
      <c r="E4" t="s">
        <v>93</v>
      </c>
    </row>
    <row r="5" spans="1:5" x14ac:dyDescent="0.2">
      <c r="A5">
        <v>1</v>
      </c>
      <c r="B5">
        <v>1</v>
      </c>
      <c r="C5" t="s">
        <v>88</v>
      </c>
      <c r="D5" t="s">
        <v>90</v>
      </c>
      <c r="E5" t="s">
        <v>94</v>
      </c>
    </row>
    <row r="6" spans="1:5" x14ac:dyDescent="0.2">
      <c r="A6">
        <v>1</v>
      </c>
      <c r="B6">
        <v>1</v>
      </c>
      <c r="C6" t="s">
        <v>89</v>
      </c>
      <c r="D6" t="s">
        <v>91</v>
      </c>
      <c r="E6" t="s">
        <v>95</v>
      </c>
    </row>
    <row r="7" spans="1:5" x14ac:dyDescent="0.2">
      <c r="A7">
        <v>1</v>
      </c>
      <c r="B7">
        <v>1</v>
      </c>
      <c r="C7" t="s">
        <v>89</v>
      </c>
      <c r="D7" t="s">
        <v>92</v>
      </c>
      <c r="E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 (Master)</vt:lpstr>
      <vt:lpstr>External I_O</vt:lpstr>
      <vt:lpstr>Sheet Mapping</vt:lpstr>
      <vt:lpstr>Logic (Truth)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Emre Karausta (ek2n24)</cp:lastModifiedBy>
  <dcterms:created xsi:type="dcterms:W3CDTF">2025-10-28T19:54:42Z</dcterms:created>
  <dcterms:modified xsi:type="dcterms:W3CDTF">2025-11-11T18:40:10Z</dcterms:modified>
</cp:coreProperties>
</file>